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onnakan/Dropbox/Work/PIER Stat/PIER_Stat_048_20180316/PIER_Stat_048_20180316/"/>
    </mc:Choice>
  </mc:AlternateContent>
  <xr:revisionPtr revIDLastSave="0" documentId="13_ncr:1_{7E9FB804-E73B-5E45-9D68-6CDCB477B0FB}" xr6:coauthVersionLast="28" xr6:coauthVersionMax="28" xr10:uidLastSave="{00000000-0000-0000-0000-000000000000}"/>
  <bookViews>
    <workbookView xWindow="0" yWindow="460" windowWidth="16800" windowHeight="19660" xr2:uid="{91B47DCA-09D9-F14C-B726-1E4CD450692D}"/>
  </bookViews>
  <sheets>
    <sheet name="data" sheetId="2" r:id="rId1"/>
  </sheets>
  <definedNames>
    <definedName name="_xlnm._FilterDatabase" localSheetId="0" hidden="1">data!$A$1:$H$1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7" i="2" l="1"/>
  <c r="C48" i="2"/>
  <c r="C41" i="2"/>
  <c r="C42" i="2"/>
  <c r="C43" i="2"/>
  <c r="C44" i="2"/>
  <c r="C45" i="2"/>
  <c r="C40" i="2"/>
  <c r="C38" i="2"/>
  <c r="C39" i="2"/>
  <c r="C35" i="2"/>
  <c r="C36" i="2"/>
  <c r="C37" i="2"/>
  <c r="C34" i="2"/>
  <c r="C33" i="2"/>
  <c r="C31" i="2"/>
  <c r="C32" i="2"/>
  <c r="C29" i="2"/>
  <c r="C30" i="2"/>
  <c r="C28" i="2"/>
  <c r="C27" i="2"/>
  <c r="C26" i="2"/>
  <c r="C23" i="2"/>
  <c r="C24" i="2"/>
  <c r="C25" i="2"/>
  <c r="C20" i="2"/>
  <c r="C21" i="2"/>
  <c r="C22" i="2"/>
  <c r="C17" i="2"/>
  <c r="C18" i="2"/>
  <c r="C19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46" i="2"/>
</calcChain>
</file>

<file path=xl/sharedStrings.xml><?xml version="1.0" encoding="utf-8"?>
<sst xmlns="http://schemas.openxmlformats.org/spreadsheetml/2006/main" count="198" uniqueCount="114">
  <si>
    <t>China</t>
  </si>
  <si>
    <t>Japan</t>
  </si>
  <si>
    <t>Poland</t>
  </si>
  <si>
    <t>Canada</t>
  </si>
  <si>
    <t>Germany</t>
  </si>
  <si>
    <t>Turkey</t>
  </si>
  <si>
    <t>Belgium</t>
  </si>
  <si>
    <t>Italy</t>
  </si>
  <si>
    <t>Norway</t>
  </si>
  <si>
    <t>Australia</t>
  </si>
  <si>
    <t>Finland</t>
  </si>
  <si>
    <t>Greece</t>
  </si>
  <si>
    <t>Brazil</t>
  </si>
  <si>
    <t>France</t>
  </si>
  <si>
    <t>Netherlands</t>
  </si>
  <si>
    <t>India</t>
  </si>
  <si>
    <t>Israel</t>
  </si>
  <si>
    <t>Taiwan</t>
  </si>
  <si>
    <t>Algeria</t>
  </si>
  <si>
    <t>Egypt</t>
  </si>
  <si>
    <t>Denmark</t>
  </si>
  <si>
    <t>Switzerland</t>
  </si>
  <si>
    <t>Sweden</t>
  </si>
  <si>
    <t>Indonesia</t>
  </si>
  <si>
    <t>Saudi Arabia</t>
  </si>
  <si>
    <t>Venezuela</t>
  </si>
  <si>
    <t>Ireland</t>
  </si>
  <si>
    <t>Angola</t>
  </si>
  <si>
    <t>Kazakhstan</t>
  </si>
  <si>
    <t>Ukraine</t>
  </si>
  <si>
    <t>Philippines</t>
  </si>
  <si>
    <t>Spain</t>
  </si>
  <si>
    <t>Czech Rep.</t>
  </si>
  <si>
    <t>Singapore</t>
  </si>
  <si>
    <t>Thailand</t>
  </si>
  <si>
    <t>Colombia</t>
  </si>
  <si>
    <t>Mexico</t>
  </si>
  <si>
    <t>Chile</t>
  </si>
  <si>
    <t>Nigeria</t>
  </si>
  <si>
    <t>Malaysia</t>
  </si>
  <si>
    <t>Hong Kong</t>
  </si>
  <si>
    <t xml:space="preserve"> Jack Ma</t>
  </si>
  <si>
    <t xml:space="preserve"> Tadashi Yanai</t>
  </si>
  <si>
    <t xml:space="preserve"> Zygmunt Solorz-Zak</t>
  </si>
  <si>
    <t xml:space="preserve"> Joseph Tsai</t>
  </si>
  <si>
    <t xml:space="preserve"> Dieter Schwarz</t>
  </si>
  <si>
    <t xml:space="preserve"> Erman Ilicak</t>
  </si>
  <si>
    <t xml:space="preserve"> Hugh Grosvenor</t>
  </si>
  <si>
    <t xml:space="preserve"> Jeff Bezos</t>
  </si>
  <si>
    <t xml:space="preserve"> Albert Frere</t>
  </si>
  <si>
    <t xml:space="preserve"> Giovanni Ferrero &amp; Family</t>
  </si>
  <si>
    <t xml:space="preserve"> Odd Reitan</t>
  </si>
  <si>
    <t xml:space="preserve"> Gina Rinehart</t>
  </si>
  <si>
    <t xml:space="preserve"> Antti Herlin</t>
  </si>
  <si>
    <t xml:space="preserve"> Dr Spiro John Latsis</t>
  </si>
  <si>
    <t xml:space="preserve"> Jorge Paulo Lemann</t>
  </si>
  <si>
    <t xml:space="preserve"> Alexey Mordashov</t>
  </si>
  <si>
    <t xml:space="preserve"> Bernard Arnault</t>
  </si>
  <si>
    <t xml:space="preserve"> Charlene De Carvalho-Heineken</t>
  </si>
  <si>
    <t xml:space="preserve"> Mukesh Ambani</t>
  </si>
  <si>
    <t xml:space="preserve"> Majid Al Futtaim</t>
  </si>
  <si>
    <t xml:space="preserve"> Eyal Ofer</t>
  </si>
  <si>
    <t xml:space="preserve"> Terry Gou</t>
  </si>
  <si>
    <t xml:space="preserve"> Lee Kun-Hee</t>
  </si>
  <si>
    <t xml:space="preserve"> Issad Rebrab</t>
  </si>
  <si>
    <t xml:space="preserve"> Nassef Sawiris</t>
  </si>
  <si>
    <t xml:space="preserve"> Johann Rupert</t>
  </si>
  <si>
    <t xml:space="preserve"> Kjeld Kirk Kristiansen</t>
  </si>
  <si>
    <t xml:space="preserve"> Ernesto Bertarelli &amp; Family</t>
  </si>
  <si>
    <t xml:space="preserve"> Stefan Persson</t>
  </si>
  <si>
    <t xml:space="preserve"> Budi Hartono</t>
  </si>
  <si>
    <t xml:space="preserve"> Alwaleed Bin Talal Al Saud</t>
  </si>
  <si>
    <t xml:space="preserve"> Juan Carlos Escotet</t>
  </si>
  <si>
    <t xml:space="preserve"> John Grayken</t>
  </si>
  <si>
    <t xml:space="preserve"> Isabel Dos Santos</t>
  </si>
  <si>
    <t xml:space="preserve"> Bulat Utemuratov</t>
  </si>
  <si>
    <t xml:space="preserve"> Rinat Akhmetov</t>
  </si>
  <si>
    <t xml:space="preserve"> Henry Sy</t>
  </si>
  <si>
    <t xml:space="preserve"> Amancio Ortega</t>
  </si>
  <si>
    <t xml:space="preserve"> Petr Kellner</t>
  </si>
  <si>
    <t xml:space="preserve"> Wee Cho Yaw</t>
  </si>
  <si>
    <t xml:space="preserve"> Charoen Sirivadhanabhakdi</t>
  </si>
  <si>
    <t xml:space="preserve"> Alejandro Santo Domingo</t>
  </si>
  <si>
    <t xml:space="preserve"> Carlos Slim</t>
  </si>
  <si>
    <t xml:space="preserve"> Iris Fontbona</t>
  </si>
  <si>
    <t xml:space="preserve"> Aliko Dangote</t>
  </si>
  <si>
    <t xml:space="preserve"> Robert Kuok</t>
  </si>
  <si>
    <t xml:space="preserve"> Li Ka-shing</t>
  </si>
  <si>
    <t>Country of citizenship</t>
  </si>
  <si>
    <t>Billionaire name</t>
  </si>
  <si>
    <t>Days covered</t>
  </si>
  <si>
    <t>Net worth $B</t>
  </si>
  <si>
    <t>GDP,  $B</t>
  </si>
  <si>
    <t>Govt exp,  % GDP</t>
  </si>
  <si>
    <t>Daily govt exp, $M</t>
  </si>
  <si>
    <t>Country, Name</t>
  </si>
  <si>
    <t>South Africa</t>
  </si>
  <si>
    <t>Korea, Rep.</t>
  </si>
  <si>
    <t>United Arab Emirates</t>
  </si>
  <si>
    <t>Russian Federation</t>
  </si>
  <si>
    <t>United Kingdom</t>
  </si>
  <si>
    <t>United States</t>
  </si>
  <si>
    <t>Region</t>
  </si>
  <si>
    <t>Group</t>
  </si>
  <si>
    <t>Europe &amp; Central Asia</t>
  </si>
  <si>
    <t>High income</t>
  </si>
  <si>
    <t>Lower middle income</t>
  </si>
  <si>
    <t>East Asia &amp; Pacific</t>
  </si>
  <si>
    <t>Upper middle income</t>
  </si>
  <si>
    <t>Sub-Saharan Africa</t>
  </si>
  <si>
    <t>Latin America &amp; Caribbean</t>
  </si>
  <si>
    <t>Middle East &amp; North Africa</t>
  </si>
  <si>
    <t>South Asia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</si>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</sst>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4CBC-B5CE-CF4C-815F-A1AD7C141A02}">
  <dimension ref="A1:J48"/>
  <sheetViews>
    <sheetView tabSelected="1" workbookViewId="0">
      <selection activeCell="A6" sqref="A6"/>
    </sheetView>
  </sheetViews>
  <sheetFormatPr baseColWidth="10" defaultRowHeight="16" x14ac:dyDescent="0.2"/>
  <cols>
    <col min="1" max="1" width="18.83203125" bestFit="1" customWidth="1"/>
    <col min="2" max="2" width="27.6640625" bestFit="1" customWidth="1"/>
    <col min="3" max="3" width="27.6640625" customWidth="1"/>
    <col min="4" max="4" width="11.83203125" bestFit="1" customWidth="1"/>
    <col min="5" max="5" width="12.1640625" bestFit="1" customWidth="1"/>
    <col min="6" max="6" width="16.33203125" bestFit="1" customWidth="1"/>
    <col min="7" max="7" width="13.33203125" bestFit="1" customWidth="1"/>
    <col min="8" max="8" width="15.33203125" bestFit="1" customWidth="1"/>
    <col min="9" max="9" width="23.5" bestFit="1" customWidth="1"/>
    <col min="10" max="10" width="19" bestFit="1" customWidth="1"/>
  </cols>
  <sheetData>
    <row r="1" spans="1:10" x14ac:dyDescent="0.2">
      <c r="A1" s="1" t="s">
        <v>88</v>
      </c>
      <c r="B1" s="1" t="s">
        <v>89</v>
      </c>
      <c r="C1" s="1" t="s">
        <v>95</v>
      </c>
      <c r="D1" s="1" t="s">
        <v>90</v>
      </c>
      <c r="E1" s="1" t="s">
        <v>91</v>
      </c>
      <c r="F1" s="1" t="s">
        <v>94</v>
      </c>
      <c r="G1" s="1" t="s">
        <v>92</v>
      </c>
      <c r="H1" s="1" t="s">
        <v>93</v>
      </c>
      <c r="I1" s="1" t="s">
        <v>102</v>
      </c>
      <c r="J1" s="1" t="s">
        <v>103</v>
      </c>
    </row>
    <row r="2" spans="1:10" x14ac:dyDescent="0.2">
      <c r="A2" t="s">
        <v>40</v>
      </c>
      <c r="B2" t="s">
        <v>87</v>
      </c>
      <c r="C2" t="str">
        <f t="shared" ref="C2:C31" si="0">_xlfn.CONCAT(A2, ",", B2)</f>
        <v>Hong Kong, Li Ka-shing</v>
      </c>
      <c r="D2">
        <v>191</v>
      </c>
      <c r="E2">
        <v>34.700000000000003</v>
      </c>
      <c r="F2">
        <v>181.5</v>
      </c>
      <c r="G2">
        <v>344.8</v>
      </c>
      <c r="H2">
        <v>19.2</v>
      </c>
      <c r="I2" t="s">
        <v>107</v>
      </c>
      <c r="J2" t="s">
        <v>105</v>
      </c>
    </row>
    <row r="3" spans="1:10" x14ac:dyDescent="0.2">
      <c r="A3" t="s">
        <v>39</v>
      </c>
      <c r="B3" t="s">
        <v>86</v>
      </c>
      <c r="C3" t="str">
        <f t="shared" si="0"/>
        <v>Malaysia, Robert Kuok</v>
      </c>
      <c r="D3">
        <v>95</v>
      </c>
      <c r="E3">
        <v>19.600000000000001</v>
      </c>
      <c r="F3">
        <v>205.6</v>
      </c>
      <c r="G3">
        <v>340.9</v>
      </c>
      <c r="H3">
        <v>22</v>
      </c>
      <c r="I3" t="s">
        <v>107</v>
      </c>
      <c r="J3" t="s">
        <v>108</v>
      </c>
    </row>
    <row r="4" spans="1:10" x14ac:dyDescent="0.2">
      <c r="A4" t="s">
        <v>38</v>
      </c>
      <c r="B4" t="s">
        <v>85</v>
      </c>
      <c r="C4" t="str">
        <f t="shared" si="0"/>
        <v>Nigeria, Aliko Dangote</v>
      </c>
      <c r="D4">
        <v>94</v>
      </c>
      <c r="E4">
        <v>12.2</v>
      </c>
      <c r="F4">
        <v>129.19999999999999</v>
      </c>
      <c r="G4">
        <v>460.7</v>
      </c>
      <c r="H4">
        <v>10.199999999999999</v>
      </c>
      <c r="I4" t="s">
        <v>109</v>
      </c>
      <c r="J4" t="s">
        <v>106</v>
      </c>
    </row>
    <row r="5" spans="1:10" x14ac:dyDescent="0.2">
      <c r="A5" t="s">
        <v>37</v>
      </c>
      <c r="B5" t="s">
        <v>84</v>
      </c>
      <c r="C5" t="str">
        <f t="shared" si="0"/>
        <v>Chile, Iris Fontbona</v>
      </c>
      <c r="D5">
        <v>90</v>
      </c>
      <c r="E5">
        <v>17.8</v>
      </c>
      <c r="F5">
        <v>198.3</v>
      </c>
      <c r="G5">
        <v>265.2</v>
      </c>
      <c r="H5">
        <v>27.3</v>
      </c>
      <c r="I5" t="s">
        <v>110</v>
      </c>
      <c r="J5" t="s">
        <v>105</v>
      </c>
    </row>
    <row r="6" spans="1:10" x14ac:dyDescent="0.2">
      <c r="A6" t="s">
        <v>36</v>
      </c>
      <c r="B6" t="s">
        <v>83</v>
      </c>
      <c r="C6" t="str">
        <f t="shared" si="0"/>
        <v>Mexico, Carlos Slim</v>
      </c>
      <c r="D6">
        <v>82</v>
      </c>
      <c r="E6">
        <v>62.8</v>
      </c>
      <c r="F6">
        <v>769.8</v>
      </c>
      <c r="G6">
        <v>1250</v>
      </c>
      <c r="H6">
        <v>22.5</v>
      </c>
      <c r="I6" t="s">
        <v>110</v>
      </c>
      <c r="J6" t="s">
        <v>108</v>
      </c>
    </row>
    <row r="7" spans="1:10" x14ac:dyDescent="0.2">
      <c r="A7" t="s">
        <v>35</v>
      </c>
      <c r="B7" t="s">
        <v>82</v>
      </c>
      <c r="C7" t="str">
        <f t="shared" si="0"/>
        <v>Colombia, Alejandro Santo Domingo</v>
      </c>
      <c r="D7">
        <v>64</v>
      </c>
      <c r="E7">
        <v>15.8</v>
      </c>
      <c r="F7">
        <v>246.7</v>
      </c>
      <c r="G7">
        <v>322.5</v>
      </c>
      <c r="H7">
        <v>27.9</v>
      </c>
      <c r="I7" t="s">
        <v>110</v>
      </c>
      <c r="J7" t="s">
        <v>108</v>
      </c>
    </row>
    <row r="8" spans="1:10" x14ac:dyDescent="0.2">
      <c r="A8" t="s">
        <v>34</v>
      </c>
      <c r="B8" t="s">
        <v>81</v>
      </c>
      <c r="C8" t="str">
        <f t="shared" si="0"/>
        <v>Thailand, Charoen Sirivadhanabhakdi</v>
      </c>
      <c r="D8">
        <v>56</v>
      </c>
      <c r="E8">
        <v>17.3</v>
      </c>
      <c r="F8">
        <v>309.60000000000002</v>
      </c>
      <c r="G8">
        <v>466.6</v>
      </c>
      <c r="H8">
        <v>24.2</v>
      </c>
      <c r="I8" t="s">
        <v>107</v>
      </c>
      <c r="J8" t="s">
        <v>108</v>
      </c>
    </row>
    <row r="9" spans="1:10" x14ac:dyDescent="0.2">
      <c r="A9" t="s">
        <v>33</v>
      </c>
      <c r="B9" t="s">
        <v>80</v>
      </c>
      <c r="C9" t="str">
        <f t="shared" si="0"/>
        <v>Singapore, Wee Cho Yaw</v>
      </c>
      <c r="D9">
        <v>52</v>
      </c>
      <c r="E9">
        <v>8.8000000000000007</v>
      </c>
      <c r="F9">
        <v>170.2</v>
      </c>
      <c r="G9">
        <v>316.89999999999998</v>
      </c>
      <c r="H9">
        <v>19.600000000000001</v>
      </c>
      <c r="I9" t="s">
        <v>107</v>
      </c>
      <c r="J9" t="s">
        <v>105</v>
      </c>
    </row>
    <row r="10" spans="1:10" x14ac:dyDescent="0.2">
      <c r="A10" t="s">
        <v>32</v>
      </c>
      <c r="B10" t="s">
        <v>79</v>
      </c>
      <c r="C10" t="str">
        <f t="shared" si="0"/>
        <v>Czech Rep., Petr Kellner</v>
      </c>
      <c r="D10">
        <v>50</v>
      </c>
      <c r="E10">
        <v>13.1</v>
      </c>
      <c r="F10">
        <v>261.7</v>
      </c>
      <c r="G10">
        <v>238</v>
      </c>
      <c r="H10">
        <v>40.1</v>
      </c>
      <c r="I10" t="s">
        <v>104</v>
      </c>
      <c r="J10" t="s">
        <v>105</v>
      </c>
    </row>
    <row r="11" spans="1:10" x14ac:dyDescent="0.2">
      <c r="A11" t="s">
        <v>31</v>
      </c>
      <c r="B11" t="s">
        <v>78</v>
      </c>
      <c r="C11" t="str">
        <f t="shared" si="0"/>
        <v>Spain, Amancio Ortega</v>
      </c>
      <c r="D11">
        <v>48</v>
      </c>
      <c r="E11">
        <v>75.3</v>
      </c>
      <c r="F11">
        <v>1583.6</v>
      </c>
      <c r="G11">
        <v>1419.9</v>
      </c>
      <c r="H11">
        <v>40.700000000000003</v>
      </c>
      <c r="I11" t="s">
        <v>104</v>
      </c>
      <c r="J11" t="s">
        <v>105</v>
      </c>
    </row>
    <row r="12" spans="1:10" x14ac:dyDescent="0.2">
      <c r="A12" t="s">
        <v>30</v>
      </c>
      <c r="B12" t="s">
        <v>77</v>
      </c>
      <c r="C12" t="str">
        <f t="shared" si="0"/>
        <v>Philippines, Henry Sy</v>
      </c>
      <c r="D12">
        <v>40</v>
      </c>
      <c r="E12">
        <v>7.9</v>
      </c>
      <c r="F12">
        <v>198.2</v>
      </c>
      <c r="G12">
        <v>357.8</v>
      </c>
      <c r="H12">
        <v>20.2</v>
      </c>
      <c r="I12" t="s">
        <v>107</v>
      </c>
      <c r="J12" t="s">
        <v>106</v>
      </c>
    </row>
    <row r="13" spans="1:10" x14ac:dyDescent="0.2">
      <c r="A13" t="s">
        <v>29</v>
      </c>
      <c r="B13" t="s">
        <v>76</v>
      </c>
      <c r="C13" t="str">
        <f t="shared" si="0"/>
        <v>Ukraine, Rinat Akhmetov</v>
      </c>
      <c r="D13">
        <v>36</v>
      </c>
      <c r="E13">
        <v>4.7</v>
      </c>
      <c r="F13">
        <v>132</v>
      </c>
      <c r="G13">
        <v>109.7</v>
      </c>
      <c r="H13">
        <v>43.9</v>
      </c>
      <c r="I13" t="s">
        <v>104</v>
      </c>
      <c r="J13" t="s">
        <v>106</v>
      </c>
    </row>
    <row r="14" spans="1:10" x14ac:dyDescent="0.2">
      <c r="A14" t="s">
        <v>28</v>
      </c>
      <c r="B14" t="s">
        <v>75</v>
      </c>
      <c r="C14" t="str">
        <f t="shared" si="0"/>
        <v>Kazakhstan, Bulat Utemuratov</v>
      </c>
      <c r="D14">
        <v>33</v>
      </c>
      <c r="E14">
        <v>3.3</v>
      </c>
      <c r="F14">
        <v>101.2</v>
      </c>
      <c r="G14">
        <v>170.3</v>
      </c>
      <c r="H14">
        <v>21.7</v>
      </c>
      <c r="I14" t="s">
        <v>104</v>
      </c>
      <c r="J14" t="s">
        <v>108</v>
      </c>
    </row>
    <row r="15" spans="1:10" x14ac:dyDescent="0.2">
      <c r="A15" t="s">
        <v>27</v>
      </c>
      <c r="B15" t="s">
        <v>74</v>
      </c>
      <c r="C15" t="str">
        <f t="shared" si="0"/>
        <v>Angola, Isabel Dos Santos</v>
      </c>
      <c r="D15">
        <v>30</v>
      </c>
      <c r="E15">
        <v>2.5</v>
      </c>
      <c r="F15">
        <v>83.7</v>
      </c>
      <c r="G15">
        <v>138.19999999999999</v>
      </c>
      <c r="H15">
        <v>22.1</v>
      </c>
      <c r="I15" t="s">
        <v>109</v>
      </c>
      <c r="J15" t="s">
        <v>106</v>
      </c>
    </row>
    <row r="16" spans="1:10" x14ac:dyDescent="0.2">
      <c r="A16" t="s">
        <v>26</v>
      </c>
      <c r="B16" t="s">
        <v>73</v>
      </c>
      <c r="C16" t="str">
        <f t="shared" si="0"/>
        <v>Ireland, John Grayken</v>
      </c>
      <c r="D16">
        <v>27</v>
      </c>
      <c r="E16">
        <v>6.8</v>
      </c>
      <c r="F16">
        <v>252.4</v>
      </c>
      <c r="G16">
        <v>357.2</v>
      </c>
      <c r="H16">
        <v>25.8</v>
      </c>
      <c r="I16" t="s">
        <v>104</v>
      </c>
      <c r="J16" t="s">
        <v>105</v>
      </c>
    </row>
    <row r="17" spans="1:10" x14ac:dyDescent="0.2">
      <c r="A17" t="s">
        <v>23</v>
      </c>
      <c r="B17" t="s">
        <v>70</v>
      </c>
      <c r="C17" t="str">
        <f t="shared" si="0"/>
        <v>Indonesia, Budi Hartono</v>
      </c>
      <c r="D17">
        <v>26</v>
      </c>
      <c r="E17">
        <v>12.9</v>
      </c>
      <c r="F17">
        <v>503.5</v>
      </c>
      <c r="G17">
        <v>1092.0999999999999</v>
      </c>
      <c r="H17">
        <v>16.8</v>
      </c>
      <c r="I17" t="s">
        <v>107</v>
      </c>
      <c r="J17" t="s">
        <v>106</v>
      </c>
    </row>
    <row r="18" spans="1:10" x14ac:dyDescent="0.2">
      <c r="A18" t="s">
        <v>24</v>
      </c>
      <c r="B18" t="s">
        <v>71</v>
      </c>
      <c r="C18" t="str">
        <f t="shared" si="0"/>
        <v>Saudi Arabia, Alwaleed Bin Talal Al Saud</v>
      </c>
      <c r="D18">
        <v>26</v>
      </c>
      <c r="E18">
        <v>17.8</v>
      </c>
      <c r="F18">
        <v>679</v>
      </c>
      <c r="G18">
        <v>708.5</v>
      </c>
      <c r="H18">
        <v>35</v>
      </c>
      <c r="I18" t="s">
        <v>111</v>
      </c>
      <c r="J18" t="s">
        <v>105</v>
      </c>
    </row>
    <row r="19" spans="1:10" x14ac:dyDescent="0.2">
      <c r="A19" t="s">
        <v>25</v>
      </c>
      <c r="B19" t="s">
        <v>72</v>
      </c>
      <c r="C19" t="str">
        <f t="shared" si="0"/>
        <v>Venezuela, Juan Carlos Escotet</v>
      </c>
      <c r="D19">
        <v>26</v>
      </c>
      <c r="E19">
        <v>4.5999999999999996</v>
      </c>
      <c r="F19">
        <v>178.5</v>
      </c>
      <c r="G19">
        <v>207.8</v>
      </c>
      <c r="H19">
        <v>31.4</v>
      </c>
      <c r="I19" t="s">
        <v>110</v>
      </c>
      <c r="J19" t="s">
        <v>108</v>
      </c>
    </row>
    <row r="20" spans="1:10" x14ac:dyDescent="0.2">
      <c r="A20" t="s">
        <v>20</v>
      </c>
      <c r="B20" t="s">
        <v>67</v>
      </c>
      <c r="C20" t="str">
        <f t="shared" si="0"/>
        <v>Denmark, Kjeld Kirk Kristiansen</v>
      </c>
      <c r="D20">
        <v>25</v>
      </c>
      <c r="E20">
        <v>12.8</v>
      </c>
      <c r="F20">
        <v>505.8</v>
      </c>
      <c r="G20">
        <v>351.6</v>
      </c>
      <c r="H20">
        <v>52.5</v>
      </c>
      <c r="I20" t="s">
        <v>104</v>
      </c>
      <c r="J20" t="s">
        <v>105</v>
      </c>
    </row>
    <row r="21" spans="1:10" x14ac:dyDescent="0.2">
      <c r="A21" t="s">
        <v>21</v>
      </c>
      <c r="B21" t="s">
        <v>68</v>
      </c>
      <c r="C21" t="str">
        <f t="shared" si="0"/>
        <v>Switzerland, Ernesto Bertarelli &amp; Family</v>
      </c>
      <c r="D21">
        <v>25</v>
      </c>
      <c r="E21">
        <v>16.2</v>
      </c>
      <c r="F21">
        <v>652.9</v>
      </c>
      <c r="G21">
        <v>708.8</v>
      </c>
      <c r="H21">
        <v>33.6</v>
      </c>
      <c r="I21" t="s">
        <v>104</v>
      </c>
      <c r="J21" t="s">
        <v>105</v>
      </c>
    </row>
    <row r="22" spans="1:10" x14ac:dyDescent="0.2">
      <c r="A22" t="s">
        <v>22</v>
      </c>
      <c r="B22" t="s">
        <v>69</v>
      </c>
      <c r="C22" t="str">
        <f t="shared" si="0"/>
        <v>Sweden, Stefan Persson</v>
      </c>
      <c r="D22">
        <v>25</v>
      </c>
      <c r="E22">
        <v>19.399999999999999</v>
      </c>
      <c r="F22">
        <v>775</v>
      </c>
      <c r="G22">
        <v>595</v>
      </c>
      <c r="H22">
        <v>47.5</v>
      </c>
      <c r="I22" t="s">
        <v>104</v>
      </c>
      <c r="J22" t="s">
        <v>105</v>
      </c>
    </row>
    <row r="23" spans="1:10" x14ac:dyDescent="0.2">
      <c r="A23" t="s">
        <v>18</v>
      </c>
      <c r="B23" t="s">
        <v>64</v>
      </c>
      <c r="C23" t="str">
        <f t="shared" si="0"/>
        <v>Algeria, Issad Rebrab</v>
      </c>
      <c r="D23">
        <v>24</v>
      </c>
      <c r="E23">
        <v>3.8</v>
      </c>
      <c r="F23">
        <v>157.6</v>
      </c>
      <c r="G23">
        <v>179.9</v>
      </c>
      <c r="H23">
        <v>32</v>
      </c>
      <c r="I23" t="s">
        <v>111</v>
      </c>
      <c r="J23" t="s">
        <v>108</v>
      </c>
    </row>
    <row r="24" spans="1:10" x14ac:dyDescent="0.2">
      <c r="A24" t="s">
        <v>19</v>
      </c>
      <c r="B24" t="s">
        <v>65</v>
      </c>
      <c r="C24" t="str">
        <f t="shared" si="0"/>
        <v>Egypt, Nassef Sawiris</v>
      </c>
      <c r="D24">
        <v>24</v>
      </c>
      <c r="E24">
        <v>6.4</v>
      </c>
      <c r="F24">
        <v>268.60000000000002</v>
      </c>
      <c r="G24">
        <v>332.4</v>
      </c>
      <c r="H24">
        <v>29.5</v>
      </c>
      <c r="I24" t="s">
        <v>111</v>
      </c>
      <c r="J24" t="s">
        <v>106</v>
      </c>
    </row>
    <row r="25" spans="1:10" x14ac:dyDescent="0.2">
      <c r="A25" t="s">
        <v>96</v>
      </c>
      <c r="B25" t="s">
        <v>66</v>
      </c>
      <c r="C25" t="str">
        <f t="shared" si="0"/>
        <v>South Africa, Johann Rupert</v>
      </c>
      <c r="D25">
        <v>24</v>
      </c>
      <c r="E25">
        <v>8.1</v>
      </c>
      <c r="F25">
        <v>333.5</v>
      </c>
      <c r="G25">
        <v>361.2</v>
      </c>
      <c r="H25">
        <v>33.700000000000003</v>
      </c>
      <c r="I25" t="s">
        <v>109</v>
      </c>
      <c r="J25" t="s">
        <v>108</v>
      </c>
    </row>
    <row r="26" spans="1:10" x14ac:dyDescent="0.2">
      <c r="A26" t="s">
        <v>97</v>
      </c>
      <c r="B26" t="s">
        <v>63</v>
      </c>
      <c r="C26" t="str">
        <f t="shared" si="0"/>
        <v>Korea, Rep., Lee Kun-Hee</v>
      </c>
      <c r="D26">
        <v>23</v>
      </c>
      <c r="E26">
        <v>20.9</v>
      </c>
      <c r="F26">
        <v>924.2</v>
      </c>
      <c r="G26">
        <v>1597.4</v>
      </c>
      <c r="H26">
        <v>21.1</v>
      </c>
      <c r="I26" t="s">
        <v>107</v>
      </c>
      <c r="J26" t="s">
        <v>105</v>
      </c>
    </row>
    <row r="27" spans="1:10" x14ac:dyDescent="0.2">
      <c r="A27" t="s">
        <v>17</v>
      </c>
      <c r="B27" t="s">
        <v>62</v>
      </c>
      <c r="C27" t="str">
        <f t="shared" si="0"/>
        <v>Taiwan, Terry Gou</v>
      </c>
      <c r="D27">
        <v>22</v>
      </c>
      <c r="E27">
        <v>6.3</v>
      </c>
      <c r="F27">
        <v>281</v>
      </c>
      <c r="G27">
        <v>588.29999999999995</v>
      </c>
      <c r="H27">
        <v>17.399999999999999</v>
      </c>
      <c r="I27" t="s">
        <v>107</v>
      </c>
      <c r="J27" t="s">
        <v>105</v>
      </c>
    </row>
    <row r="28" spans="1:10" x14ac:dyDescent="0.2">
      <c r="A28" t="s">
        <v>16</v>
      </c>
      <c r="B28" t="s">
        <v>61</v>
      </c>
      <c r="C28" t="str">
        <f t="shared" si="0"/>
        <v>Israel, Eyal Ofer</v>
      </c>
      <c r="D28">
        <v>21</v>
      </c>
      <c r="E28">
        <v>8.5</v>
      </c>
      <c r="F28">
        <v>410.3</v>
      </c>
      <c r="G28">
        <v>361.6</v>
      </c>
      <c r="H28">
        <v>41.4</v>
      </c>
      <c r="I28" t="s">
        <v>111</v>
      </c>
      <c r="J28" t="s">
        <v>105</v>
      </c>
    </row>
    <row r="29" spans="1:10" x14ac:dyDescent="0.2">
      <c r="A29" t="s">
        <v>15</v>
      </c>
      <c r="B29" t="s">
        <v>59</v>
      </c>
      <c r="C29" t="str">
        <f t="shared" si="0"/>
        <v>India, Mukesh Ambani</v>
      </c>
      <c r="D29">
        <v>20</v>
      </c>
      <c r="E29">
        <v>40.299999999999997</v>
      </c>
      <c r="F29">
        <v>1987.2</v>
      </c>
      <c r="G29">
        <v>2654.2</v>
      </c>
      <c r="H29">
        <v>27.3</v>
      </c>
      <c r="I29" t="s">
        <v>112</v>
      </c>
      <c r="J29" t="s">
        <v>106</v>
      </c>
    </row>
    <row r="30" spans="1:10" x14ac:dyDescent="0.2">
      <c r="A30" t="s">
        <v>98</v>
      </c>
      <c r="B30" t="s">
        <v>60</v>
      </c>
      <c r="C30" t="str">
        <f t="shared" si="0"/>
        <v>United Arab Emirates, Majid Al Futtaim</v>
      </c>
      <c r="D30">
        <v>20</v>
      </c>
      <c r="E30">
        <v>6.5</v>
      </c>
      <c r="F30">
        <v>324.2</v>
      </c>
      <c r="G30">
        <v>400.9</v>
      </c>
      <c r="H30">
        <v>29.5</v>
      </c>
      <c r="I30" t="s">
        <v>111</v>
      </c>
      <c r="J30" t="s">
        <v>105</v>
      </c>
    </row>
    <row r="31" spans="1:10" x14ac:dyDescent="0.2">
      <c r="A31" t="s">
        <v>13</v>
      </c>
      <c r="B31" t="s">
        <v>57</v>
      </c>
      <c r="C31" t="str">
        <f t="shared" si="0"/>
        <v>France, Bernard Arnault</v>
      </c>
      <c r="D31">
        <v>15</v>
      </c>
      <c r="E31">
        <v>63.3</v>
      </c>
      <c r="F31">
        <v>4212</v>
      </c>
      <c r="G31">
        <v>2765.6</v>
      </c>
      <c r="H31">
        <v>55.6</v>
      </c>
      <c r="I31" t="s">
        <v>104</v>
      </c>
      <c r="J31" t="s">
        <v>105</v>
      </c>
    </row>
    <row r="32" spans="1:10" x14ac:dyDescent="0.2">
      <c r="A32" t="s">
        <v>14</v>
      </c>
      <c r="B32" t="s">
        <v>58</v>
      </c>
      <c r="C32" t="str">
        <f t="shared" ref="C32:C48" si="1">_xlfn.CONCAT(A32, ",", B32)</f>
        <v>Netherlands, Charlene De Carvalho-Heineken</v>
      </c>
      <c r="D32">
        <v>15</v>
      </c>
      <c r="E32">
        <v>15.7</v>
      </c>
      <c r="F32">
        <v>1049.9000000000001</v>
      </c>
      <c r="G32">
        <v>891</v>
      </c>
      <c r="H32">
        <v>43</v>
      </c>
      <c r="I32" t="s">
        <v>104</v>
      </c>
      <c r="J32" t="s">
        <v>105</v>
      </c>
    </row>
    <row r="33" spans="1:10" x14ac:dyDescent="0.2">
      <c r="A33" t="s">
        <v>99</v>
      </c>
      <c r="B33" t="s">
        <v>56</v>
      </c>
      <c r="C33" t="str">
        <f t="shared" si="1"/>
        <v>Russian Federation, Alexey Mordashov</v>
      </c>
      <c r="D33">
        <v>14</v>
      </c>
      <c r="E33">
        <v>19.7</v>
      </c>
      <c r="F33">
        <v>1399.7</v>
      </c>
      <c r="G33">
        <v>1522.9</v>
      </c>
      <c r="H33">
        <v>33.5</v>
      </c>
      <c r="I33" t="s">
        <v>104</v>
      </c>
      <c r="J33" t="s">
        <v>108</v>
      </c>
    </row>
    <row r="34" spans="1:10" x14ac:dyDescent="0.2">
      <c r="A34" t="s">
        <v>12</v>
      </c>
      <c r="B34" t="s">
        <v>55</v>
      </c>
      <c r="C34" t="str">
        <f t="shared" si="1"/>
        <v>Brazil, Jorge Paulo Lemann</v>
      </c>
      <c r="D34">
        <v>13</v>
      </c>
      <c r="E34">
        <v>29.6</v>
      </c>
      <c r="F34">
        <v>2297.9</v>
      </c>
      <c r="G34">
        <v>2199.6999999999998</v>
      </c>
      <c r="H34">
        <v>38.1</v>
      </c>
      <c r="I34" t="s">
        <v>110</v>
      </c>
      <c r="J34" t="s">
        <v>108</v>
      </c>
    </row>
    <row r="35" spans="1:10" x14ac:dyDescent="0.2">
      <c r="A35" t="s">
        <v>9</v>
      </c>
      <c r="B35" t="s">
        <v>52</v>
      </c>
      <c r="C35" t="str">
        <f t="shared" si="1"/>
        <v>Australia, Gina Rinehart</v>
      </c>
      <c r="D35">
        <v>11</v>
      </c>
      <c r="E35">
        <v>16</v>
      </c>
      <c r="F35">
        <v>1494.7</v>
      </c>
      <c r="G35">
        <v>1482.3</v>
      </c>
      <c r="H35">
        <v>36.799999999999997</v>
      </c>
      <c r="I35" t="s">
        <v>107</v>
      </c>
      <c r="J35" t="s">
        <v>105</v>
      </c>
    </row>
    <row r="36" spans="1:10" x14ac:dyDescent="0.2">
      <c r="A36" t="s">
        <v>10</v>
      </c>
      <c r="B36" t="s">
        <v>53</v>
      </c>
      <c r="C36" t="str">
        <f t="shared" si="1"/>
        <v>Finland, Antti Herlin</v>
      </c>
      <c r="D36">
        <v>11</v>
      </c>
      <c r="E36">
        <v>4.5</v>
      </c>
      <c r="F36">
        <v>395.7</v>
      </c>
      <c r="G36">
        <v>271.8</v>
      </c>
      <c r="H36">
        <v>53.1</v>
      </c>
      <c r="I36" t="s">
        <v>104</v>
      </c>
      <c r="J36" t="s">
        <v>105</v>
      </c>
    </row>
    <row r="37" spans="1:10" x14ac:dyDescent="0.2">
      <c r="A37" t="s">
        <v>11</v>
      </c>
      <c r="B37" t="s">
        <v>54</v>
      </c>
      <c r="C37" t="str">
        <f t="shared" si="1"/>
        <v>Greece, Dr Spiro John Latsis</v>
      </c>
      <c r="D37">
        <v>11</v>
      </c>
      <c r="E37">
        <v>3.2</v>
      </c>
      <c r="F37">
        <v>291.60000000000002</v>
      </c>
      <c r="G37">
        <v>221.6</v>
      </c>
      <c r="H37">
        <v>48</v>
      </c>
      <c r="I37" t="s">
        <v>104</v>
      </c>
      <c r="J37" t="s">
        <v>105</v>
      </c>
    </row>
    <row r="38" spans="1:10" x14ac:dyDescent="0.2">
      <c r="A38" t="s">
        <v>7</v>
      </c>
      <c r="B38" t="s">
        <v>50</v>
      </c>
      <c r="C38" t="str">
        <f t="shared" si="1"/>
        <v>Italy, Giovanni Ferrero &amp; Family</v>
      </c>
      <c r="D38">
        <v>9</v>
      </c>
      <c r="E38">
        <v>24.5</v>
      </c>
      <c r="F38">
        <v>2735.3</v>
      </c>
      <c r="G38">
        <v>2049</v>
      </c>
      <c r="H38">
        <v>48.7</v>
      </c>
      <c r="I38" t="s">
        <v>104</v>
      </c>
      <c r="J38" t="s">
        <v>105</v>
      </c>
    </row>
    <row r="39" spans="1:10" x14ac:dyDescent="0.2">
      <c r="A39" t="s">
        <v>8</v>
      </c>
      <c r="B39" t="s">
        <v>51</v>
      </c>
      <c r="C39" t="str">
        <f t="shared" si="1"/>
        <v>Norway, Odd Reitan</v>
      </c>
      <c r="D39">
        <v>9</v>
      </c>
      <c r="E39">
        <v>4.8</v>
      </c>
      <c r="F39">
        <v>557.1</v>
      </c>
      <c r="G39">
        <v>406.5</v>
      </c>
      <c r="H39">
        <v>50</v>
      </c>
      <c r="I39" t="s">
        <v>104</v>
      </c>
      <c r="J39" t="s">
        <v>105</v>
      </c>
    </row>
    <row r="40" spans="1:10" x14ac:dyDescent="0.2">
      <c r="A40" t="s">
        <v>6</v>
      </c>
      <c r="B40" t="s">
        <v>49</v>
      </c>
      <c r="C40" t="str">
        <f t="shared" si="1"/>
        <v>Belgium, Albert Frere</v>
      </c>
      <c r="D40">
        <v>8</v>
      </c>
      <c r="E40">
        <v>6.3</v>
      </c>
      <c r="F40">
        <v>759.5</v>
      </c>
      <c r="G40">
        <v>529.29999999999995</v>
      </c>
      <c r="H40">
        <v>52.4</v>
      </c>
      <c r="I40" t="s">
        <v>104</v>
      </c>
      <c r="J40" t="s">
        <v>105</v>
      </c>
    </row>
    <row r="41" spans="1:10" x14ac:dyDescent="0.2">
      <c r="A41" t="s">
        <v>3</v>
      </c>
      <c r="B41" t="s">
        <v>44</v>
      </c>
      <c r="C41" t="str">
        <f t="shared" si="1"/>
        <v>Canada, Joseph Tsai</v>
      </c>
      <c r="D41">
        <v>5</v>
      </c>
      <c r="E41">
        <v>10.7</v>
      </c>
      <c r="F41">
        <v>1959.4</v>
      </c>
      <c r="G41">
        <v>1763.5</v>
      </c>
      <c r="H41">
        <v>40.6</v>
      </c>
      <c r="I41" t="s">
        <v>113</v>
      </c>
      <c r="J41" t="s">
        <v>105</v>
      </c>
    </row>
    <row r="42" spans="1:10" x14ac:dyDescent="0.2">
      <c r="A42" t="s">
        <v>4</v>
      </c>
      <c r="B42" t="s">
        <v>45</v>
      </c>
      <c r="C42" t="str">
        <f t="shared" si="1"/>
        <v>Germany, Dieter Schwarz</v>
      </c>
      <c r="D42">
        <v>5</v>
      </c>
      <c r="E42">
        <v>24.3</v>
      </c>
      <c r="F42">
        <v>4807.8999999999996</v>
      </c>
      <c r="G42">
        <v>3934.8</v>
      </c>
      <c r="H42">
        <v>44.6</v>
      </c>
      <c r="I42" t="s">
        <v>104</v>
      </c>
      <c r="J42" t="s">
        <v>105</v>
      </c>
    </row>
    <row r="43" spans="1:10" x14ac:dyDescent="0.2">
      <c r="A43" t="s">
        <v>5</v>
      </c>
      <c r="B43" t="s">
        <v>46</v>
      </c>
      <c r="C43" t="str">
        <f t="shared" si="1"/>
        <v>Turkey, Erman Ilicak</v>
      </c>
      <c r="D43">
        <v>5</v>
      </c>
      <c r="E43">
        <v>3.8</v>
      </c>
      <c r="F43">
        <v>821.3</v>
      </c>
      <c r="G43">
        <v>905.7</v>
      </c>
      <c r="H43">
        <v>33.1</v>
      </c>
      <c r="I43" t="s">
        <v>104</v>
      </c>
      <c r="J43" t="s">
        <v>108</v>
      </c>
    </row>
    <row r="44" spans="1:10" x14ac:dyDescent="0.2">
      <c r="A44" t="s">
        <v>100</v>
      </c>
      <c r="B44" t="s">
        <v>47</v>
      </c>
      <c r="C44" t="str">
        <f t="shared" si="1"/>
        <v>United Kingdom, Hugh Grosvenor</v>
      </c>
      <c r="D44">
        <v>5</v>
      </c>
      <c r="E44">
        <v>12.9</v>
      </c>
      <c r="F44">
        <v>2846</v>
      </c>
      <c r="G44">
        <v>2661.2</v>
      </c>
      <c r="H44">
        <v>39</v>
      </c>
      <c r="I44" t="s">
        <v>104</v>
      </c>
      <c r="J44" t="s">
        <v>105</v>
      </c>
    </row>
    <row r="45" spans="1:10" x14ac:dyDescent="0.2">
      <c r="A45" t="s">
        <v>101</v>
      </c>
      <c r="B45" t="s">
        <v>48</v>
      </c>
      <c r="C45" t="str">
        <f t="shared" si="1"/>
        <v>United States, Jeff Bezos</v>
      </c>
      <c r="D45">
        <v>5</v>
      </c>
      <c r="E45">
        <v>99</v>
      </c>
      <c r="F45">
        <v>19642.099999999999</v>
      </c>
      <c r="G45">
        <v>20200</v>
      </c>
      <c r="H45">
        <v>35.5</v>
      </c>
      <c r="I45" t="s">
        <v>113</v>
      </c>
      <c r="J45" t="s">
        <v>105</v>
      </c>
    </row>
    <row r="46" spans="1:10" x14ac:dyDescent="0.2">
      <c r="A46" t="s">
        <v>0</v>
      </c>
      <c r="B46" t="s">
        <v>41</v>
      </c>
      <c r="C46" t="str">
        <f t="shared" si="1"/>
        <v>China, Jack Ma</v>
      </c>
      <c r="D46">
        <v>4</v>
      </c>
      <c r="E46">
        <v>45.5</v>
      </c>
      <c r="F46">
        <v>11205.2</v>
      </c>
      <c r="G46">
        <v>13118.7</v>
      </c>
      <c r="H46">
        <v>31.2</v>
      </c>
      <c r="I46" t="s">
        <v>107</v>
      </c>
      <c r="J46" t="s">
        <v>108</v>
      </c>
    </row>
    <row r="47" spans="1:10" x14ac:dyDescent="0.2">
      <c r="A47" t="s">
        <v>1</v>
      </c>
      <c r="B47" t="s">
        <v>42</v>
      </c>
      <c r="C47" t="str">
        <f t="shared" si="1"/>
        <v>Japan, Tadashi Yanai</v>
      </c>
      <c r="D47">
        <v>4</v>
      </c>
      <c r="E47">
        <v>20.6</v>
      </c>
      <c r="F47">
        <v>4947.6000000000004</v>
      </c>
      <c r="G47">
        <v>5063.1000000000004</v>
      </c>
      <c r="H47">
        <v>35.700000000000003</v>
      </c>
      <c r="I47" t="s">
        <v>107</v>
      </c>
      <c r="J47" t="s">
        <v>105</v>
      </c>
    </row>
    <row r="48" spans="1:10" x14ac:dyDescent="0.2">
      <c r="A48" t="s">
        <v>2</v>
      </c>
      <c r="B48" t="s">
        <v>43</v>
      </c>
      <c r="C48" t="str">
        <f t="shared" si="1"/>
        <v>Poland, Zygmunt Solorz-Zak</v>
      </c>
      <c r="D48">
        <v>4</v>
      </c>
      <c r="E48">
        <v>2.7</v>
      </c>
      <c r="F48">
        <v>673</v>
      </c>
      <c r="G48">
        <v>571.29999999999995</v>
      </c>
      <c r="H48">
        <v>43</v>
      </c>
      <c r="I48" t="s">
        <v>104</v>
      </c>
      <c r="J48" t="s">
        <v>105</v>
      </c>
    </row>
  </sheetData>
  <autoFilter ref="A1:H1" xr:uid="{E84EAB65-F24B-6742-8923-BC74D9F7B56A}">
    <sortState ref="A2:H48">
      <sortCondition descending="1" ref="D1:D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Chonnakan Rittinon</dc:creator>
  <cp:lastModifiedBy>Chonnakan Rittinon</cp:lastModifiedBy>
  <dcterms:created xsi:type="dcterms:W3CDTF">2018-03-16T03:14:10Z</dcterms:created>
  <dcterms:modified xsi:type="dcterms:W3CDTF">2018-03-16T08:31:15Z</dcterms:modified>
</cp:coreProperties>
</file>